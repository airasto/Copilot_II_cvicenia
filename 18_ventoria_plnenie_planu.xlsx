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nenie" sheetId="1" state="visible" r:id="rId1"/>
    <sheet xmlns:r="http://schemas.openxmlformats.org/officeDocument/2006/relationships" name="Pravidlá bonu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lneniePlanu" displayName="PlneniePlanu" ref="A1:G37" headerRowCount="1">
  <autoFilter ref="A1:G37"/>
  <tableColumns count="7">
    <tableColumn id="1" name="Mesiac"/>
    <tableColumn id="2" name="Pobočka"/>
    <tableColumn id="3" name="Plán €"/>
    <tableColumn id="4" name="Skutočnosť €"/>
    <tableColumn id="5" name="Plnenie %"/>
    <tableColumn id="6" name="Odchýlka €"/>
    <tableColumn id="7" name="Bonus €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1" customWidth="1" min="7" max="7"/>
  </cols>
  <sheetData>
    <row r="1">
      <c r="A1" t="inlineStr">
        <is>
          <t>Mesiac</t>
        </is>
      </c>
      <c r="B1" t="inlineStr">
        <is>
          <t>Pobočka</t>
        </is>
      </c>
      <c r="C1" t="inlineStr">
        <is>
          <t>Plán €</t>
        </is>
      </c>
      <c r="D1" t="inlineStr">
        <is>
          <t>Skutočnosť €</t>
        </is>
      </c>
      <c r="E1" t="inlineStr">
        <is>
          <t>Plnenie %</t>
        </is>
      </c>
      <c r="F1" t="inlineStr">
        <is>
          <t>Odchýlka €</t>
        </is>
      </c>
      <c r="G1" t="inlineStr">
        <is>
          <t>Bonus €</t>
        </is>
      </c>
    </row>
    <row r="2">
      <c r="A2" s="1" t="n">
        <v>46023</v>
      </c>
      <c r="B2" t="inlineStr">
        <is>
          <t>Bratislava</t>
        </is>
      </c>
      <c r="C2" s="2" t="n">
        <v>55800</v>
      </c>
      <c r="D2" s="2" t="n">
        <v>47080</v>
      </c>
      <c r="E2" s="3">
        <f>IFERROR(D2/C2,0)</f>
        <v/>
      </c>
      <c r="F2" s="2">
        <f>D2-C2</f>
        <v/>
      </c>
      <c r="G2" s="2">
        <f>IF(E2&gt;=1.1,ROUND((D2-C2)*0.03,0)+250,IF(E2&gt;=1,250,IF(AND(E2&gt;=0.95,MONTH(A2)&gt;=7),100,0)))</f>
        <v/>
      </c>
    </row>
    <row r="3">
      <c r="A3" s="1" t="n">
        <v>46023</v>
      </c>
      <c r="B3" t="inlineStr">
        <is>
          <t>Trenčín</t>
        </is>
      </c>
      <c r="C3" s="2" t="n">
        <v>43200</v>
      </c>
      <c r="D3" s="2" t="n">
        <v>43330</v>
      </c>
      <c r="E3" s="3">
        <f>IFERROR(D3/C3,0)</f>
        <v/>
      </c>
      <c r="F3" s="2">
        <f>D3-C3</f>
        <v/>
      </c>
      <c r="G3" s="2">
        <f>IF(E3&gt;=1.1,ROUND((D3-C3)*0.03,0)+250,IF(E3&gt;=1,250,IF(AND(E3&gt;=0.95,MONTH(A3)&gt;=7),100,0)))</f>
        <v/>
      </c>
    </row>
    <row r="4">
      <c r="A4" s="1" t="n">
        <v>46023</v>
      </c>
      <c r="B4" t="inlineStr">
        <is>
          <t>Žilina</t>
        </is>
      </c>
      <c r="C4" s="2" t="n">
        <v>36900</v>
      </c>
      <c r="D4" s="2" t="n">
        <v>33670</v>
      </c>
      <c r="E4" s="3">
        <f>IFERROR(D4/C4,0)</f>
        <v/>
      </c>
      <c r="F4" s="2">
        <f>D4-C4</f>
        <v/>
      </c>
      <c r="G4" s="2">
        <f>IF(E4&gt;=1.1,ROUND((D4-C4)*0.03,0)+250,IF(E4&gt;=1,250,IF(AND(E4&gt;=0.95,MONTH(A4)&gt;=7),100,0)))</f>
        <v/>
      </c>
    </row>
    <row r="5">
      <c r="A5" s="1" t="n">
        <v>46023</v>
      </c>
      <c r="B5" t="inlineStr">
        <is>
          <t>Košice</t>
        </is>
      </c>
      <c r="C5" s="2" t="n">
        <v>33300</v>
      </c>
      <c r="D5" s="2" t="n">
        <v>34430</v>
      </c>
      <c r="E5" s="3">
        <f>IFERROR(D5/C5,0)</f>
        <v/>
      </c>
      <c r="F5" s="2">
        <f>D5-C5</f>
        <v/>
      </c>
      <c r="G5" s="2">
        <f>IF(E5&gt;=1.1,ROUND((D5-C5)*0.03,0)+250,IF(E5&gt;=1,250,IF(AND(E5&gt;=0.95,MONTH(A5)&gt;=7),100,0)))</f>
        <v/>
      </c>
    </row>
    <row r="6">
      <c r="A6" s="1" t="n">
        <v>46054</v>
      </c>
      <c r="B6" t="inlineStr">
        <is>
          <t>Bratislava</t>
        </is>
      </c>
      <c r="C6" s="2" t="n">
        <v>58900</v>
      </c>
      <c r="D6" s="2" t="n">
        <v>61570</v>
      </c>
      <c r="E6" s="3">
        <f>IFERROR(D6/C6,0)</f>
        <v/>
      </c>
      <c r="F6" s="2">
        <f>D6-C6</f>
        <v/>
      </c>
      <c r="G6" s="2">
        <f>IF(E6&gt;=1.1,ROUND((D6-C6)*0.03,0)+250,IF(E6&gt;=1,250,IF(AND(E6&gt;=0.95,MONTH(A6)&gt;=7),100,0)))</f>
        <v/>
      </c>
    </row>
    <row r="7">
      <c r="A7" s="1" t="n">
        <v>46054</v>
      </c>
      <c r="B7" t="inlineStr">
        <is>
          <t>Trenčín</t>
        </is>
      </c>
      <c r="C7" s="2" t="n">
        <v>45600</v>
      </c>
      <c r="D7" s="2" t="n">
        <v>34390</v>
      </c>
      <c r="E7" s="3">
        <f>IFERROR(D7/C7,0)</f>
        <v/>
      </c>
      <c r="F7" s="2">
        <f>D7-C7</f>
        <v/>
      </c>
      <c r="G7" s="2">
        <f>IF(E7&gt;=1.1,ROUND((D7-C7)*0.03,0)+250,IF(E7&gt;=1,250,IF(AND(E7&gt;=0.95,MONTH(A7)&gt;=7),100,0)))</f>
        <v/>
      </c>
    </row>
    <row r="8">
      <c r="A8" s="1" t="n">
        <v>46054</v>
      </c>
      <c r="B8" t="inlineStr">
        <is>
          <t>Žilina</t>
        </is>
      </c>
      <c r="C8" s="2" t="n">
        <v>39000</v>
      </c>
      <c r="D8" s="2" t="n">
        <v>28350</v>
      </c>
      <c r="E8" s="3">
        <f>IFERROR(D8/C8,0)</f>
        <v/>
      </c>
      <c r="F8" s="2">
        <f>D8-C8</f>
        <v/>
      </c>
      <c r="G8" s="2">
        <f>IF(E8&gt;=1.1,ROUND((D8-C8)*0.03,0)+250,IF(E8&gt;=1,250,IF(AND(E8&gt;=0.95,MONTH(A8)&gt;=7),100,0)))</f>
        <v/>
      </c>
    </row>
    <row r="9">
      <c r="A9" s="1" t="n">
        <v>46054</v>
      </c>
      <c r="B9" t="inlineStr">
        <is>
          <t>Košice</t>
        </is>
      </c>
      <c r="C9" s="2" t="n">
        <v>35200</v>
      </c>
      <c r="D9" s="2" t="n">
        <v>40670</v>
      </c>
      <c r="E9" s="3">
        <f>IFERROR(D9/C9,0)</f>
        <v/>
      </c>
      <c r="F9" s="2">
        <f>D9-C9</f>
        <v/>
      </c>
      <c r="G9" s="2">
        <f>IF(E9&gt;=1.1,ROUND((D9-C9)*0.03,0)+250,IF(E9&gt;=1,250,IF(AND(E9&gt;=0.95,MONTH(A9)&gt;=7),100,0)))</f>
        <v/>
      </c>
    </row>
    <row r="10">
      <c r="A10" s="1" t="n">
        <v>46082</v>
      </c>
      <c r="B10" t="inlineStr">
        <is>
          <t>Bratislava</t>
        </is>
      </c>
      <c r="C10" s="2" t="n">
        <v>62000</v>
      </c>
      <c r="D10" s="2" t="n">
        <v>53000</v>
      </c>
      <c r="E10" s="3">
        <f>IFERROR(D10/C10,0)</f>
        <v/>
      </c>
      <c r="F10" s="2">
        <f>D10-C10</f>
        <v/>
      </c>
      <c r="G10" s="2">
        <f>IF(E10&gt;=1.1,ROUND((D10-C10)*0.03,0)+250,IF(E10&gt;=1,250,IF(AND(E10&gt;=0.95,MONTH(A10)&gt;=7),100,0)))</f>
        <v/>
      </c>
    </row>
    <row r="11">
      <c r="A11" s="1" t="n">
        <v>46082</v>
      </c>
      <c r="B11" t="inlineStr">
        <is>
          <t>Trenčín</t>
        </is>
      </c>
      <c r="C11" s="2" t="n">
        <v>48000</v>
      </c>
      <c r="D11" s="2" t="n">
        <v>40410</v>
      </c>
      <c r="E11" s="3">
        <f>IFERROR(D11/C11,0)</f>
        <v/>
      </c>
      <c r="F11" s="2">
        <f>D11-C11</f>
        <v/>
      </c>
      <c r="G11" s="2">
        <f>IF(E11&gt;=1.1,ROUND((D11-C11)*0.03,0)+250,IF(E11&gt;=1,250,IF(AND(E11&gt;=0.95,MONTH(A11)&gt;=7),100,0)))</f>
        <v/>
      </c>
    </row>
    <row r="12">
      <c r="A12" s="1" t="n">
        <v>46082</v>
      </c>
      <c r="B12" t="inlineStr">
        <is>
          <t>Žilina</t>
        </is>
      </c>
      <c r="C12" s="2" t="n">
        <v>41000</v>
      </c>
      <c r="D12" s="2" t="n">
        <v>50750</v>
      </c>
      <c r="E12" s="3">
        <f>IFERROR(D12/C12,0)</f>
        <v/>
      </c>
      <c r="F12" s="2">
        <f>D12-C12</f>
        <v/>
      </c>
      <c r="G12" s="2">
        <f>IF(E12&gt;=1.1,ROUND((D12-C12)*0.03,0)+250,IF(E12&gt;=1,250,IF(AND(E12&gt;=0.95,MONTH(A12)&gt;=7),100,0)))</f>
        <v/>
      </c>
    </row>
    <row r="13">
      <c r="A13" s="1" t="n">
        <v>46082</v>
      </c>
      <c r="B13" t="inlineStr">
        <is>
          <t>Košice</t>
        </is>
      </c>
      <c r="C13" s="2" t="n">
        <v>37000</v>
      </c>
      <c r="D13" s="2" t="n">
        <v>35690</v>
      </c>
      <c r="E13" s="3">
        <f>IFERROR(D13/C13,0)</f>
        <v/>
      </c>
      <c r="F13" s="2">
        <f>D13-C13</f>
        <v/>
      </c>
      <c r="G13" s="2">
        <f>IF(E13&gt;=1.1,ROUND((D13-C13)*0.03,0)+250,IF(E13&gt;=1,250,IF(AND(E13&gt;=0.95,MONTH(A13)&gt;=7),100,0)))</f>
        <v/>
      </c>
    </row>
    <row r="14">
      <c r="A14" s="1" t="n">
        <v>46113</v>
      </c>
      <c r="B14" t="inlineStr">
        <is>
          <t>Bratislava</t>
        </is>
      </c>
      <c r="C14" s="2" t="n">
        <v>52700</v>
      </c>
      <c r="D14" s="2" t="n">
        <v>60870</v>
      </c>
      <c r="E14" s="3">
        <f>IFERROR(D14/C14,0)</f>
        <v/>
      </c>
      <c r="F14" s="2">
        <f>D14-C14</f>
        <v/>
      </c>
      <c r="G14" s="2">
        <f>IF(E14&gt;=1.1,ROUND((D14-C14)*0.03,0)+250,IF(E14&gt;=1,250,IF(AND(E14&gt;=0.95,MONTH(A14)&gt;=7),100,0)))</f>
        <v/>
      </c>
    </row>
    <row r="15">
      <c r="A15" s="1" t="n">
        <v>46113</v>
      </c>
      <c r="B15" t="inlineStr">
        <is>
          <t>Trenčín</t>
        </is>
      </c>
      <c r="C15" s="2" t="n">
        <v>40800</v>
      </c>
      <c r="D15" s="2" t="n">
        <v>39480</v>
      </c>
      <c r="E15" s="3">
        <f>IFERROR(D15/C15,0)</f>
        <v/>
      </c>
      <c r="F15" s="2">
        <f>D15-C15</f>
        <v/>
      </c>
      <c r="G15" s="2">
        <f>IF(E15&gt;=1.1,ROUND((D15-C15)*0.03,0)+250,IF(E15&gt;=1,250,IF(AND(E15&gt;=0.95,MONTH(A15)&gt;=7),100,0)))</f>
        <v/>
      </c>
    </row>
    <row r="16">
      <c r="A16" s="1" t="n">
        <v>46113</v>
      </c>
      <c r="B16" t="inlineStr">
        <is>
          <t>Žilina</t>
        </is>
      </c>
      <c r="C16" s="2" t="n">
        <v>34800</v>
      </c>
      <c r="D16" s="2" t="n">
        <v>36620</v>
      </c>
      <c r="E16" s="3">
        <f>IFERROR(D16/C16,0)</f>
        <v/>
      </c>
      <c r="F16" s="2">
        <f>D16-C16</f>
        <v/>
      </c>
      <c r="G16" s="2">
        <f>IF(E16&gt;=1.1,ROUND((D16-C16)*0.03,0)+250,IF(E16&gt;=1,250,IF(AND(E16&gt;=0.95,MONTH(A16)&gt;=7),100,0)))</f>
        <v/>
      </c>
    </row>
    <row r="17">
      <c r="A17" s="1" t="n">
        <v>46113</v>
      </c>
      <c r="B17" t="inlineStr">
        <is>
          <t>Košice</t>
        </is>
      </c>
      <c r="C17" s="2" t="n">
        <v>31400</v>
      </c>
      <c r="D17" s="2" t="n">
        <v>25070</v>
      </c>
      <c r="E17" s="3">
        <f>IFERROR(D17/C17,0)</f>
        <v/>
      </c>
      <c r="F17" s="2">
        <f>D17-C17</f>
        <v/>
      </c>
      <c r="G17" s="2">
        <f>IF(E17&gt;=1.1,ROUND((D17-C17)*0.03,0)+250,IF(E17&gt;=1,250,IF(AND(E17&gt;=0.95,MONTH(A17)&gt;=7),100,0)))</f>
        <v/>
      </c>
    </row>
    <row r="18">
      <c r="A18" s="1" t="n">
        <v>46143</v>
      </c>
      <c r="B18" t="inlineStr">
        <is>
          <t>Bratislava</t>
        </is>
      </c>
      <c r="C18" s="2" t="n">
        <v>55800</v>
      </c>
      <c r="D18" s="2" t="n">
        <v>58600</v>
      </c>
      <c r="E18" s="3">
        <f>IFERROR(D18/C18,0)</f>
        <v/>
      </c>
      <c r="F18" s="2">
        <f>D18-C18</f>
        <v/>
      </c>
      <c r="G18" s="2">
        <f>IF(E18&gt;=1.1,ROUND((D18-C18)*0.03,0)+250,IF(E18&gt;=1,250,IF(AND(E18&gt;=0.95,MONTH(A18)&gt;=7),100,0)))</f>
        <v/>
      </c>
    </row>
    <row r="19">
      <c r="A19" s="1" t="n">
        <v>46143</v>
      </c>
      <c r="B19" t="inlineStr">
        <is>
          <t>Trenčín</t>
        </is>
      </c>
      <c r="C19" s="2" t="n">
        <v>43200</v>
      </c>
      <c r="D19" s="2" t="n">
        <v>50600</v>
      </c>
      <c r="E19" s="3">
        <f>IFERROR(D19/C19,0)</f>
        <v/>
      </c>
      <c r="F19" s="2">
        <f>D19-C19</f>
        <v/>
      </c>
      <c r="G19" s="2">
        <f>IF(E19&gt;=1.1,ROUND((D19-C19)*0.03,0)+250,IF(E19&gt;=1,250,IF(AND(E19&gt;=0.95,MONTH(A19)&gt;=7),100,0)))</f>
        <v/>
      </c>
    </row>
    <row r="20">
      <c r="A20" s="1" t="n">
        <v>46143</v>
      </c>
      <c r="B20" t="inlineStr">
        <is>
          <t>Žilina</t>
        </is>
      </c>
      <c r="C20" s="2" t="n">
        <v>36900</v>
      </c>
      <c r="D20" s="2" t="n">
        <v>36610</v>
      </c>
      <c r="E20" s="3">
        <f>IFERROR(D20/C20,0)</f>
        <v/>
      </c>
      <c r="F20" s="2">
        <f>D20-C20</f>
        <v/>
      </c>
      <c r="G20" s="2">
        <f>IF(E20&gt;=1.1,ROUND((D20-C20)*0.03,0)+250,IF(E20&gt;=1,250,IF(AND(E20&gt;=0.95,MONTH(A20)&gt;=7),100,0)))</f>
        <v/>
      </c>
    </row>
    <row r="21">
      <c r="A21" s="1" t="n">
        <v>46143</v>
      </c>
      <c r="B21" t="inlineStr">
        <is>
          <t>Košice</t>
        </is>
      </c>
      <c r="C21" s="2" t="n">
        <v>33300</v>
      </c>
      <c r="D21" s="2" t="n">
        <v>36810</v>
      </c>
      <c r="E21" s="3">
        <f>IFERROR(D21/C21,0)</f>
        <v/>
      </c>
      <c r="F21" s="2">
        <f>D21-C21</f>
        <v/>
      </c>
      <c r="G21" s="2">
        <f>IF(E21&gt;=1.1,ROUND((D21-C21)*0.03,0)+250,IF(E21&gt;=1,250,IF(AND(E21&gt;=0.95,MONTH(A21)&gt;=7),100,0)))</f>
        <v/>
      </c>
    </row>
    <row r="22">
      <c r="A22" s="1" t="n">
        <v>46174</v>
      </c>
      <c r="B22" t="inlineStr">
        <is>
          <t>Bratislava</t>
        </is>
      </c>
      <c r="C22" s="2" t="n">
        <v>58900</v>
      </c>
      <c r="D22" s="2" t="n">
        <v>62970</v>
      </c>
      <c r="E22" s="3">
        <f>IFERROR(D22/C22,0)</f>
        <v/>
      </c>
      <c r="F22" s="2">
        <f>D22-C22</f>
        <v/>
      </c>
      <c r="G22" s="2">
        <f>IF(E22&gt;=1.1,ROUND((D22-C22)*0.03,0)+250,IF(E22&gt;=1,250,IF(AND(E22&gt;=0.95,MONTH(A22)&gt;=7),100,0)))</f>
        <v/>
      </c>
    </row>
    <row r="23">
      <c r="A23" s="1" t="n">
        <v>46174</v>
      </c>
      <c r="B23" t="inlineStr">
        <is>
          <t>Trenčín</t>
        </is>
      </c>
      <c r="C23" s="2" t="n">
        <v>45600</v>
      </c>
      <c r="D23" s="2" t="n">
        <v>34350</v>
      </c>
      <c r="E23" s="3">
        <f>IFERROR(D23/C23,0)</f>
        <v/>
      </c>
      <c r="F23" s="2">
        <f>D23-C23</f>
        <v/>
      </c>
      <c r="G23" s="2">
        <f>IF(E23&gt;=1.1,ROUND((D23-C23)*0.03,0)+250,IF(E23&gt;=1,250,IF(AND(E23&gt;=0.95,MONTH(A23)&gt;=7),100,0)))</f>
        <v/>
      </c>
    </row>
    <row r="24">
      <c r="A24" s="1" t="n">
        <v>46174</v>
      </c>
      <c r="B24" t="inlineStr">
        <is>
          <t>Žilina</t>
        </is>
      </c>
      <c r="C24" s="2" t="n">
        <v>39000</v>
      </c>
      <c r="D24" s="2" t="n">
        <v>43460</v>
      </c>
      <c r="E24" s="3">
        <f>IFERROR(D24/C24,0)</f>
        <v/>
      </c>
      <c r="F24" s="2">
        <f>D24-C24</f>
        <v/>
      </c>
      <c r="G24" s="2">
        <f>IF(E24&gt;=1.1,ROUND((D24-C24)*0.03,0)+250,IF(E24&gt;=1,250,IF(AND(E24&gt;=0.95,MONTH(A24)&gt;=7),100,0)))</f>
        <v/>
      </c>
    </row>
    <row r="25">
      <c r="A25" s="1" t="n">
        <v>46174</v>
      </c>
      <c r="B25" t="inlineStr">
        <is>
          <t>Košice</t>
        </is>
      </c>
      <c r="C25" s="2" t="n">
        <v>35200</v>
      </c>
      <c r="D25" s="2" t="n">
        <v>36160</v>
      </c>
      <c r="E25" s="3">
        <f>IFERROR(D25/C25,0)</f>
        <v/>
      </c>
      <c r="F25" s="2">
        <f>D25-C25</f>
        <v/>
      </c>
      <c r="G25" s="2">
        <f>IF(E25&gt;=1.1,ROUND((D25-C25)*0.03,0)+250,IF(E25&gt;=1,250,IF(AND(E25&gt;=0.95,MONTH(A25)&gt;=7),100,0)))</f>
        <v/>
      </c>
    </row>
    <row r="26">
      <c r="A26" s="1" t="n">
        <v>46204</v>
      </c>
      <c r="B26" t="inlineStr">
        <is>
          <t>Bratislava</t>
        </is>
      </c>
      <c r="C26" s="2" t="n">
        <v>62000</v>
      </c>
      <c r="D26" s="2" t="n">
        <v>54350</v>
      </c>
      <c r="E26" s="3">
        <f>IFERROR(D26/C26,0)</f>
        <v/>
      </c>
      <c r="F26" s="2">
        <f>D26-C26</f>
        <v/>
      </c>
      <c r="G26" s="2">
        <f>IF(E26&gt;=1.1,ROUND((D26-C26)*0.03,0)+250,IF(E26&gt;=1,250,IF(AND(E26&gt;=0.95,MONTH(A26)&gt;=7),100,0)))</f>
        <v/>
      </c>
    </row>
    <row r="27">
      <c r="A27" s="1" t="n">
        <v>46204</v>
      </c>
      <c r="B27" t="inlineStr">
        <is>
          <t>Trenčín</t>
        </is>
      </c>
      <c r="C27" s="2" t="n">
        <v>48000</v>
      </c>
      <c r="D27" s="2" t="n">
        <v>35330</v>
      </c>
      <c r="E27" s="3">
        <f>IFERROR(D27/C27,0)</f>
        <v/>
      </c>
      <c r="F27" s="2">
        <f>D27-C27</f>
        <v/>
      </c>
      <c r="G27" s="2">
        <f>IF(E27&gt;=1.1,ROUND((D27-C27)*0.03,0)+250,IF(E27&gt;=1,250,IF(AND(E27&gt;=0.95,MONTH(A27)&gt;=7),100,0)))</f>
        <v/>
      </c>
    </row>
    <row r="28">
      <c r="A28" s="1" t="n">
        <v>46204</v>
      </c>
      <c r="B28" t="inlineStr">
        <is>
          <t>Žilina</t>
        </is>
      </c>
      <c r="C28" s="2" t="n">
        <v>41000</v>
      </c>
      <c r="D28" s="2" t="n">
        <v>47970</v>
      </c>
      <c r="E28" s="3">
        <f>IFERROR(D28/C28,0)</f>
        <v/>
      </c>
      <c r="F28" s="2">
        <f>D28-C28</f>
        <v/>
      </c>
      <c r="G28" s="2">
        <f>IF(E28&gt;=1.1,ROUND((D28-C28)*0.03,0)+250,IF(E28&gt;=1,250,IF(AND(E28&gt;=0.95,MONTH(A28)&gt;=7),100,0)))</f>
        <v/>
      </c>
    </row>
    <row r="29">
      <c r="A29" s="1" t="n">
        <v>46204</v>
      </c>
      <c r="B29" t="inlineStr">
        <is>
          <t>Košice</t>
        </is>
      </c>
      <c r="C29" s="2" t="n">
        <v>37000</v>
      </c>
      <c r="D29" s="2" t="n">
        <v>35740</v>
      </c>
      <c r="E29" s="3">
        <f>IFERROR(D29/C29,0)</f>
        <v/>
      </c>
      <c r="F29" s="2">
        <f>D29-C29</f>
        <v/>
      </c>
      <c r="G29" s="2">
        <f>IF(E29&gt;=1.1,ROUND((D29-C29)*0.03,0)+250,IF(E29&gt;=1,250,IF(AND(E29&gt;=0.95,MONTH(A29)&gt;=7),100,0)))</f>
        <v/>
      </c>
    </row>
    <row r="30">
      <c r="A30" s="1" t="n">
        <v>46235</v>
      </c>
      <c r="B30" t="inlineStr">
        <is>
          <t>Bratislava</t>
        </is>
      </c>
      <c r="C30" s="2" t="n">
        <v>52700</v>
      </c>
      <c r="D30" s="2" t="n">
        <v>57640</v>
      </c>
      <c r="E30" s="3">
        <f>IFERROR(D30/C30,0)</f>
        <v/>
      </c>
      <c r="F30" s="2">
        <f>D30-C30</f>
        <v/>
      </c>
      <c r="G30" s="2">
        <f>IF(E30&gt;=1.1,ROUND((D30-C30)*0.03,0)+250,IF(E30&gt;=1,250,IF(AND(E30&gt;=0.95,MONTH(A30)&gt;=7),100,0)))</f>
        <v/>
      </c>
    </row>
    <row r="31">
      <c r="A31" s="1" t="n">
        <v>46235</v>
      </c>
      <c r="B31" t="inlineStr">
        <is>
          <t>Trenčín</t>
        </is>
      </c>
      <c r="C31" s="2" t="n">
        <v>40800</v>
      </c>
      <c r="D31" s="2" t="n">
        <v>48020</v>
      </c>
      <c r="E31" s="3">
        <f>IFERROR(D31/C31,0)</f>
        <v/>
      </c>
      <c r="F31" s="2">
        <f>D31-C31</f>
        <v/>
      </c>
      <c r="G31" s="2">
        <f>IF(E31&gt;=1.1,ROUND((D31-C31)*0.03,0)+250,IF(E31&gt;=1,250,IF(AND(E31&gt;=0.95,MONTH(A31)&gt;=7),100,0)))</f>
        <v/>
      </c>
    </row>
    <row r="32">
      <c r="A32" s="1" t="n">
        <v>46235</v>
      </c>
      <c r="B32" t="inlineStr">
        <is>
          <t>Žilina</t>
        </is>
      </c>
      <c r="C32" s="2" t="n">
        <v>34800</v>
      </c>
      <c r="D32" s="2" t="n">
        <v>37980</v>
      </c>
      <c r="E32" s="3">
        <f>IFERROR(D32/C32,0)</f>
        <v/>
      </c>
      <c r="F32" s="2">
        <f>D32-C32</f>
        <v/>
      </c>
      <c r="G32" s="2">
        <f>IF(E32&gt;=1.1,ROUND((D32-C32)*0.03,0)+250,IF(E32&gt;=1,250,IF(AND(E32&gt;=0.95,MONTH(A32)&gt;=7),100,0)))</f>
        <v/>
      </c>
    </row>
    <row r="33">
      <c r="A33" s="1" t="n">
        <v>46235</v>
      </c>
      <c r="B33" t="inlineStr">
        <is>
          <t>Košice</t>
        </is>
      </c>
      <c r="C33" s="2" t="n">
        <v>31400</v>
      </c>
      <c r="D33" s="2" t="n">
        <v>37650</v>
      </c>
      <c r="E33" s="3">
        <f>IFERROR(D33/C33,0)</f>
        <v/>
      </c>
      <c r="F33" s="2">
        <f>D33-C33</f>
        <v/>
      </c>
      <c r="G33" s="2">
        <f>IF(E33&gt;=1.1,ROUND((D33-C33)*0.03,0)+250,IF(E33&gt;=1,250,IF(AND(E33&gt;=0.95,MONTH(A33)&gt;=7),100,0)))</f>
        <v/>
      </c>
    </row>
    <row r="34">
      <c r="A34" s="1" t="n">
        <v>46266</v>
      </c>
      <c r="B34" t="inlineStr">
        <is>
          <t>Bratislava</t>
        </is>
      </c>
      <c r="C34" s="2" t="n">
        <v>55800</v>
      </c>
      <c r="D34" s="2" t="n">
        <v>51640</v>
      </c>
      <c r="E34" s="3">
        <f>IFERROR(D34/C34,0)</f>
        <v/>
      </c>
      <c r="F34" s="2">
        <f>D34-C34</f>
        <v/>
      </c>
      <c r="G34" s="2">
        <f>IF(E34&gt;=1.1,ROUND((D34-C34)*0.03,0)+250,IF(E34&gt;=1,250,IF(AND(E34&gt;=0.95,MONTH(A34)&gt;=7),100,0)))</f>
        <v/>
      </c>
    </row>
    <row r="35">
      <c r="A35" s="1" t="n">
        <v>46266</v>
      </c>
      <c r="B35" t="inlineStr">
        <is>
          <t>Trenčín</t>
        </is>
      </c>
      <c r="C35" s="2" t="n">
        <v>43200</v>
      </c>
      <c r="D35" s="2" t="n">
        <v>49100</v>
      </c>
      <c r="E35" s="3">
        <f>IFERROR(D35/C35,0)</f>
        <v/>
      </c>
      <c r="F35" s="2">
        <f>D35-C35</f>
        <v/>
      </c>
      <c r="G35" s="2">
        <f>IF(E35&gt;=1.1,ROUND((D35-C35)*0.03,0)+250,IF(E35&gt;=1,250,IF(AND(E35&gt;=0.95,MONTH(A35)&gt;=7),100,0)))</f>
        <v/>
      </c>
    </row>
    <row r="36">
      <c r="A36" s="1" t="n">
        <v>46266</v>
      </c>
      <c r="B36" t="inlineStr">
        <is>
          <t>Žilina</t>
        </is>
      </c>
      <c r="C36" s="2" t="n">
        <v>36900</v>
      </c>
      <c r="D36" s="2" t="n">
        <v>35100</v>
      </c>
      <c r="E36" s="3">
        <f>IFERROR(D36/C36,0)</f>
        <v/>
      </c>
      <c r="F36" s="2">
        <f>D36-C36</f>
        <v/>
      </c>
      <c r="G36" s="2">
        <f>IF(E36&gt;=1.1,ROUND((D36-C36)*0.03,0)+250,IF(E36&gt;=1,250,IF(AND(E36&gt;=0.95,MONTH(A36)&gt;=7),100,0)))</f>
        <v/>
      </c>
    </row>
    <row r="37">
      <c r="A37" s="1" t="n">
        <v>46266</v>
      </c>
      <c r="B37" t="inlineStr">
        <is>
          <t>Košice</t>
        </is>
      </c>
      <c r="C37" s="2" t="n">
        <v>33300</v>
      </c>
      <c r="D37" s="2" t="n">
        <v>40180</v>
      </c>
      <c r="E37" s="3">
        <f>IFERROR(D37/C37,0)</f>
        <v/>
      </c>
      <c r="F37" s="2">
        <f>D37-C37</f>
        <v/>
      </c>
      <c r="G37" s="2">
        <f>IF(E37&gt;=1.1,ROUND((D37-C37)*0.03,0)+250,IF(E37&gt;=1,250,IF(AND(E37&gt;=0.95,MONTH(A37)&gt;=7),100,0)))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Pravidlá mesačného bonusu pobočky (fiktívne)</t>
        </is>
      </c>
    </row>
    <row r="2">
      <c r="A2" t="inlineStr">
        <is>
          <t>Plnenie od 110 %: 250 € + 3 % z prekročenia plánu</t>
        </is>
      </c>
    </row>
    <row r="3">
      <c r="A3" t="inlineStr">
        <is>
          <t>Plnenie od 100 % do 110 %: 250 €</t>
        </is>
      </c>
    </row>
    <row r="4">
      <c r="A4" t="inlineStr">
        <is>
          <t>Plnenie od 95 % do 100 %: 100 €, len od júla 2026</t>
        </is>
      </c>
    </row>
    <row r="5">
      <c r="A5" t="inlineStr">
        <is>
          <t>Plnenie pod 95 %: bez bonusu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2026-10-17T20:08:45Z</dcterms:created>
  <dcterms:modified xmlns:dcterms="http://purl.org/dc/terms/" xmlns:xsi="http://www.w3.org/2001/XMLSchema-instance" xsi:type="dcterms:W3CDTF">2026-10-17T20:08:45Z</dcterms:modified>
</cp:coreProperties>
</file>